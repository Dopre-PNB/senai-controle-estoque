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c578a125f643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b236c11617584825"/>
    <x:sheet xmlns:r="http://schemas.openxmlformats.org/officeDocument/2006/relationships" name="Plano" sheetId="2" r:id="R5ef623cdb27d49f1"/>
    <x:sheet xmlns:r="http://schemas.openxmlformats.org/officeDocument/2006/relationships" name="Casos" sheetId="3" r:id="R6f0206384b9248a8"/>
    <x:sheet xmlns:r="http://schemas.openxmlformats.org/officeDocument/2006/relationships" name="Rastreabilidade" sheetId="4" r:id="Rbb47c9f6857e43ef"/>
    <x:sheet xmlns:r="http://schemas.openxmlformats.org/officeDocument/2006/relationships" name="Defeitos" sheetId="5" r:id="R9b1027da497549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dd/mm/yyyy hh:mm:ss"/>
  </x:numFmts>
  <x:fonts count="5">
    <x:font>
      <x:sz val="11"/>
      <x:name val="Carlito"/>
    </x:font>
    <x:font>
      <x:sz val="10"/>
      <x:color rgb="FF233244"/>
      <x:name val="Arial"/>
    </x:font>
    <x:font>
      <x:b/>
      <x:sz val="14"/>
      <x:color rgb="FF233244"/>
      <x:name val="Arial"/>
    </x:font>
    <x:font>
      <x:i/>
      <x:sz val="10"/>
      <x:color rgb="FF58687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4563"/>
      </x:patternFill>
    </x:fill>
    <x:fill>
      <x:patternFill patternType="solid">
        <x:fgColor rgb="FFF2F5F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4C4D2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horizontal="right" vertical="top"/>
    </x:xf>
    <x:xf numFmtId="201" fontId="1" fillId="0" borderId="0" xfId="0" applyNumberFormat="1" applyFont="1" applyFill="1" applyBorder="1" applyAlignment="1">
      <x:alignment horizontal="right" vertical="top"/>
    </x:xf>
    <x:xf numFmtId="202" fontId="1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2">
    <x:dxf>
      <x:font>
        <x:b/>
        <x:color rgb="FF9D2020"/>
      </x:font>
      <x:fill>
        <x:patternFill patternType="solid">
          <x:bgColor rgb="FFFCE7E7"/>
        </x:patternFill>
      </x:fill>
    </x:dxf>
    <x:dxf>
      <x:font>
        <x:b/>
        <x:color rgb="FF8A5800"/>
      </x:font>
      <x:fill>
        <x:patternFill patternType="solid">
          <x:bgColor rgb="FFFFF2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9d2a86c0cd46cf" /><Relationship Type="http://schemas.openxmlformats.org/officeDocument/2006/relationships/theme" Target="/xl/theme/theme1.xml" Id="R51e57c57a85d48b7" /><Relationship Type="http://schemas.openxmlformats.org/officeDocument/2006/relationships/sharedStrings" Target="/xl/sharedStrings.xml" Id="R7cae2f94c30346a8" /><Relationship Type="http://schemas.openxmlformats.org/officeDocument/2006/relationships/worksheet" Target="/xl/worksheets/sheet1.xml" Id="Rb236c11617584825" /><Relationship Type="http://schemas.openxmlformats.org/officeDocument/2006/relationships/worksheet" Target="/xl/worksheets/sheet2.xml" Id="R5ef623cdb27d49f1" /><Relationship Type="http://schemas.openxmlformats.org/officeDocument/2006/relationships/worksheet" Target="/xl/worksheets/sheet3.xml" Id="R6f0206384b9248a8" /><Relationship Type="http://schemas.openxmlformats.org/officeDocument/2006/relationships/worksheet" Target="/xl/worksheets/sheet4.xml" Id="Rbb47c9f6857e43ef" /><Relationship Type="http://schemas.openxmlformats.org/officeDocument/2006/relationships/worksheet" Target="/xl/worksheets/sheet5.xml" Id="R9b1027da4975491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64563"/>
  </x:sheetPr>
  <x:sheetViews>
    <x:sheetView showGridLines="0" workbookViewId="0"/>
  </x:sheetViews>
  <x:sheetFormatPr defaultRowHeight="15"/>
  <x:cols>
    <x:col min="1" max="1" width="2" hidden="0" customWidth="1"/>
    <x:col min="2" max="2" width="30" hidden="0" customWidth="1"/>
    <x:col min="3" max="3" width="25" hidden="0" customWidth="1"/>
    <x:col min="4" max="4" width="3" hidden="0" customWidth="1"/>
    <x:col min="5" max="5" width="22" hidden="0" customWidth="1"/>
    <x:col min="6" max="6" width="36" hidden="0" customWidth="1"/>
  </x:cols>
  <x:sheetData>
    <x:row r="2" ht="24" customHeight="1">
      <x:c r="B2" s="3" t="str">
        <x:v>Resumo da execução</x:v>
      </x:c>
      <x:c r="C2" s="2"/>
      <x:c r="D2" s="2"/>
      <x:c r="E2" s="2"/>
      <x:c r="F2" s="2"/>
    </x:row>
    <x:row r="3">
      <x:c r="B3" s="4"/>
      <x:c r="C3" s="4"/>
      <x:c r="D3" s="4"/>
      <x:c r="E3" s="4"/>
      <x:c r="F3" s="4"/>
    </x:row>
    <x:row r="4">
      <x:c r="B4" s="2"/>
      <x:c r="C4" s="2"/>
      <x:c r="D4" s="2"/>
      <x:c r="E4" s="2"/>
      <x:c r="F4" s="2"/>
    </x:row>
    <x:row r="5" ht="28" customHeight="1">
      <x:c r="B5" s="14" t="str">
        <x:v>Resultado</x:v>
      </x:c>
      <x:c r="C5" s="14" t="str">
        <x:v>Casos</x:v>
      </x:c>
      <x:c r="D5" s="2"/>
      <x:c r="E5" s="14" t="str">
        <x:v>Ambiente</x:v>
      </x:c>
      <x:c r="F5" s="14" t="str">
        <x:v>Valor</x:v>
      </x:c>
    </x:row>
    <x:row r="6" ht="28" customHeight="1">
      <x:c r="B6" s="2" t="str">
        <x:v>Total</x:v>
      </x:c>
      <x:c r="C6" s="17" t="n">
        <x:f>COUNTA('Casos'!B7:B28)</x:f>
        <x:v>22</x:v>
      </x:c>
      <x:c r="D6" s="2"/>
      <x:c r="E6" s="11" t="str">
        <x:v>Node.js</x:v>
      </x:c>
      <x:c r="F6" s="11" t="str">
        <x:v>v24.18.0</x:v>
      </x:c>
    </x:row>
    <x:row r="7" ht="28" customHeight="1">
      <x:c r="B7" s="2" t="str">
        <x:v>Passou</x:v>
      </x:c>
      <x:c r="C7" s="17" t="n">
        <x:f>COUNTIFS('Casos'!J7:J28,"Passou")</x:f>
        <x:v>22</x:v>
      </x:c>
      <x:c r="D7" s="2"/>
      <x:c r="E7" s="11" t="str">
        <x:v>MySQL</x:v>
      </x:c>
      <x:c r="F7" s="11" t="str">
        <x:v>8.0.46</x:v>
      </x:c>
    </x:row>
    <x:row r="8" ht="28" customHeight="1">
      <x:c r="B8" s="2" t="str">
        <x:v>Falhou</x:v>
      </x:c>
      <x:c r="C8" s="17" t="n">
        <x:f>COUNTIFS('Casos'!J7:J28,"Falhou")</x:f>
        <x:v>0</x:v>
      </x:c>
      <x:c r="D8" s="2"/>
      <x:c r="E8" s="11" t="str">
        <x:v>Sistema</x:v>
      </x:c>
      <x:c r="F8" s="11" t="str">
        <x:v>win32 x64</x:v>
      </x:c>
    </x:row>
    <x:row r="9" ht="28" customHeight="1">
      <x:c r="B9" s="2" t="str">
        <x:v>Bloqueado</x:v>
      </x:c>
      <x:c r="C9" s="17" t="n">
        <x:f>COUNTIFS('Casos'!J7:J28,"Bloqueado")</x:f>
        <x:v>0</x:v>
      </x:c>
      <x:c r="D9" s="2"/>
      <x:c r="E9" s="11" t="str">
        <x:v>Massa de desempenho</x:v>
      </x:c>
      <x:c r="F9" s="11" t="str">
        <x:v>4 produtos no CT10</x:v>
      </x:c>
    </x:row>
    <x:row r="10" ht="28" customHeight="1">
      <x:c r="B10" s="2" t="str">
        <x:v>Não executado</x:v>
      </x:c>
      <x:c r="C10" s="17" t="n">
        <x:f>COUNTIFS('Casos'!J7:J28,"Não executado")</x:f>
        <x:v>0</x:v>
      </x:c>
      <x:c r="D10" s="2"/>
      <x:c r="E10" s="11" t="str">
        <x:v>Defeitos abertos</x:v>
      </x:c>
      <x:c r="F10" s="11" t="n">
        <x:v>0</x:v>
      </x:c>
    </x:row>
    <x:row r="11" ht="28" customHeight="1">
      <x:c r="B11" s="2" t="str">
        <x:v>Taxa de aprovação</x:v>
      </x:c>
      <x:c r="C11" s="18" t="n">
        <x:f>C7/C6</x:f>
        <x:v>1</x:v>
      </x:c>
      <x:c r="D11" s="2"/>
      <x:c r="E11" s="11" t="str">
        <x:v>Método</x:v>
      </x:c>
      <x:c r="F11" s="11" t="str">
        <x:v>HTTP automático e MySQL real</x:v>
      </x:c>
    </x:row>
    <x:row r="12">
      <x:c r="B12" s="2"/>
      <x:c r="C12" s="2"/>
      <x:c r="D12" s="2"/>
      <x:c r="E12" s="2"/>
      <x:c r="F12" s="2"/>
    </x:row>
    <x:row r="13">
      <x:c r="B13" s="2"/>
      <x:c r="C13" s="2"/>
      <x:c r="D13" s="2"/>
      <x:c r="E13" s="2"/>
      <x:c r="F13" s="2"/>
    </x:row>
    <x:row r="14" ht="26" customHeight="1">
      <x:c r="B14" s="2" t="str">
        <x:v>Início (São Paulo)</x:v>
      </x:c>
      <x:c r="C14" s="19" t="d">
        <x:v>2026-10-08T22:37:11.000Z</x:v>
      </x:c>
      <x:c r="D14" s="2"/>
      <x:c r="E14" s="2"/>
      <x:c r="F14" s="2"/>
    </x:row>
    <x:row r="15" ht="26" customHeight="1">
      <x:c r="B15" s="2" t="str">
        <x:v>Fim (São Paulo)</x:v>
      </x:c>
      <x:c r="C15" s="19" t="d">
        <x:v>2026-10-08T22:37:15.000Z</x:v>
      </x:c>
      <x:c r="D15" s="2"/>
      <x:c r="E15" s="2"/>
      <x:c r="F15" s="2"/>
    </x:row>
    <x:row r="16" ht="26" customHeight="1">
      <x:c r="B16" s="2" t="str">
        <x:v>Critério de saída</x:v>
      </x:c>
      <x:c r="C16" s="2" t="str">
        <x:v>Atendido</x:v>
      </x:c>
      <x:c r="D16" s="2"/>
      <x:c r="E16" s="2"/>
      <x:c r="F16" s="2"/>
    </x:row>
    <x:row r="17">
      <x:c r="B17" s="2"/>
      <x:c r="C17" s="2"/>
      <x:c r="D17" s="2"/>
      <x:c r="E17" s="2"/>
      <x:c r="F17" s="2"/>
    </x:row>
    <x:row r="18">
      <x:c r="B18" s="2"/>
      <x:c r="C18" s="2"/>
      <x:c r="D18" s="2"/>
      <x:c r="E18" s="2"/>
      <x:c r="F18" s="2"/>
    </x:row>
    <x:row r="19">
      <x:c r="B19" s="5" t="str">
        <x:v>Aceitação pelo professor/usuário: ainda não registrada.</x:v>
      </x:c>
      <x:c r="C19" s="2"/>
      <x:c r="D19" s="2"/>
      <x:c r="E19" s="2"/>
      <x:c r="F19" s="2"/>
    </x:row>
    <x:row r="20">
      <x:c r="B20" s="5" t="str">
        <x:v>Desempenho observado no cenário local definido, com quatro produtos.</x:v>
      </x:c>
      <x:c r="C20" s="2"/>
      <x:c r="D20" s="2"/>
      <x:c r="E20" s="2"/>
      <x:c r="F20" s="2"/>
    </x:row>
    <x:row r="21">
      <x:c r="B21" s="2"/>
      <x:c r="C21" s="2"/>
      <x:c r="D21" s="2"/>
      <x:c r="E21" s="2"/>
      <x:c r="F21" s="2"/>
    </x:row>
    <x:row r="22">
      <x:c r="B22" s="2"/>
      <x:c r="C22" s="2"/>
      <x:c r="D22" s="2"/>
      <x:c r="E22" s="2"/>
      <x:c r="F22" s="2"/>
    </x:row>
    <x:row r="23">
      <x:c r="B23" s="2"/>
      <x:c r="C23" s="2"/>
      <x:c r="D23" s="2"/>
      <x:c r="E23" s="2"/>
      <x:c r="F23" s="2"/>
    </x:row>
    <x:row r="24">
      <x:c r="B24" s="2"/>
      <x:c r="C24" s="2"/>
      <x:c r="D24" s="2"/>
      <x:c r="E24" s="2"/>
      <x:c r="F2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30" hidden="0" customWidth="1"/>
    <x:col min="3" max="3" width="108" hidden="0" customWidth="1"/>
  </x:cols>
  <x:sheetData>
    <x:row r="2" ht="24" customHeight="1">
      <x:c r="B2" s="3" t="str">
        <x:v>Plano de testes</x:v>
      </x:c>
      <x:c r="C2" s="2"/>
    </x:row>
    <x:row r="3">
      <x:c r="B3" s="4"/>
      <x:c r="C3" s="4"/>
    </x:row>
    <x:row r="4">
      <x:c r="B4" s="2"/>
      <x:c r="C4" s="2"/>
    </x:row>
    <x:row r="5">
      <x:c r="B5" s="2"/>
      <x:c r="C5" s="2"/>
    </x:row>
    <x:row r="6" ht="32" customHeight="1">
      <x:c r="B6" s="10" t="str">
        <x:v>Campo</x:v>
      </x:c>
      <x:c r="C6" s="10" t="str">
        <x:v>Definição</x:v>
      </x:c>
    </x:row>
    <x:row r="7" ht="28" customHeight="1">
      <x:c r="B7" s="11" t="str">
        <x:v>Objetivo</x:v>
      </x:c>
      <x:c r="C7" s="11" t="str">
        <x:v>Verificar RF01–RF07, RNF01–RNF05 e RN01–RN05 com requisições HTTP e consultas reais ao MySQL.</x:v>
      </x:c>
    </x:row>
    <x:row r="8" ht="28" customHeight="1">
      <x:c r="B8" s="12" t="str">
        <x:v>Escopo</x:v>
      </x:c>
      <x:c r="C8" s="12" t="str">
        <x:v>Cadastro de usuários, login, cadastro/listagem/exclusão de produtos e entradas/saídas.</x:v>
      </x:c>
    </x:row>
    <x:row r="9" ht="28" customHeight="1">
      <x:c r="B9" s="11" t="str">
        <x:v>Estratégia</x:v>
      </x:c>
      <x:c r="C9" s="11" t="str">
        <x:v>Requisições HTTP automáticas e consultas ao MySQL real; não é uma execução manual do Postman.</x:v>
      </x:c>
    </x:row>
    <x:row r="10" ht="40" customHeight="1">
      <x:c r="B10" s="12" t="str">
        <x:v>Entrada</x:v>
      </x:c>
      <x:c r="C10" s="12" t="str">
        <x:v>Configuração local válida, banco acessível, schema novo distinto da aplicação, models sincronizados sem apagar tabelas e servidor iniciado.</x:v>
      </x:c>
    </x:row>
    <x:row r="11" ht="28" customHeight="1">
      <x:c r="B11" s="11" t="str">
        <x:v>Saída</x:v>
      </x:c>
      <x:c r="C11" s="11" t="str">
        <x:v>Todos os casos executados e aprovados; nenhum defeito crítico ou alto aberto.</x:v>
      </x:c>
    </x:row>
    <x:row r="12" ht="28" customHeight="1">
      <x:c r="B12" s="12" t="str">
        <x:v>Responsável pela rodada</x:v>
      </x:c>
      <x:c r="C12" s="12" t="str">
        <x:v>Agente de implementação, execução automática por npm test.</x:v>
      </x:c>
    </x:row>
    <x:row r="13" ht="28" customHeight="1">
      <x:c r="B13" s="11" t="str">
        <x:v>Cronograma da rodada</x:v>
      </x:c>
      <x:c r="C13" s="11" t="str">
        <x:v>Início e fim registrados na aba Resumo, no fuso America/Sao_Paulo.</x:v>
      </x:c>
    </x:row>
    <x:row r="14" ht="40" customHeight="1">
      <x:c r="B14" s="12" t="str">
        <x:v>Pré-condições e massa</x:v>
      </x:c>
      <x:c r="C14" s="12" t="str">
        <x:v>Dois usuários de perfis distintos e quatro produtos; datas de cadastro controladas no schema de teste. Dependências de cada caso descritas na aba Casos.</x:v>
      </x:c>
    </x:row>
    <x:row r="15" ht="28" customHeight="1">
      <x:c r="B15" s="11" t="str">
        <x:v>Ambiente</x:v>
      </x:c>
      <x:c r="C15" s="11" t="str">
        <x:v>v24.18.0; MySQL 8.0.46; win32 x64; 127.0.0.1:3311.</x:v>
      </x:c>
    </x:row>
    <x:row r="16" ht="28" customHeight="1">
      <x:c r="B16" s="12" t="str">
        <x:v>Banco de teste</x:v>
      </x:c>
      <x:c r="C16" s="12" t="str">
        <x:v>senai_estoque_test_20261009013711708_6f09f9</x:v>
      </x:c>
    </x:row>
    <x:row r="17" ht="28" customHeight="1">
      <x:c r="B17" s="11" t="str">
        <x:v>Preservação do banco</x:v>
      </x:c>
      <x:c r="C17" s="11" t="str">
        <x:v>Schema de teste preservado para conferência; aplicação não utilizada como massa de teste.</x:v>
      </x:c>
    </x:row>
    <x:row r="18" ht="40" customHeight="1">
      <x:c r="B18" s="12" t="str">
        <x:v>Esperados anteriores à execução</x:v>
      </x:c>
      <x:c r="C18" s="12" t="str">
        <x:v>Definição: docs/casos.json. SHA-256: 46a61b9f5553e29d29cb7cde292b8ecc7694c9a757af21b990015952915a771d. Carregada antes dos testes: sim.</x:v>
      </x:c>
    </x:row>
    <x:row r="19" ht="40" customHeight="1">
      <x:c r="B19" s="11" t="str">
        <x:v>Evidências</x:v>
      </x:c>
      <x:c r="C19" s="11" t="str">
        <x:v>evidencias/execucao.json contém respostas, tempos e resultados das consultas ao MySQL. casos.json contém a definição prévia.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9" hidden="0" customWidth="1"/>
    <x:col min="3" max="3" width="18" hidden="0" customWidth="1"/>
    <x:col min="4" max="4" width="36" hidden="0" customWidth="1"/>
    <x:col min="5" max="5" width="38" hidden="0" customWidth="1"/>
    <x:col min="6" max="6" width="43" hidden="0" customWidth="1"/>
    <x:col min="7" max="7" width="40" hidden="0" customWidth="1"/>
    <x:col min="8" max="8" width="47" hidden="0" customWidth="1"/>
    <x:col min="9" max="9" width="59" hidden="0" customWidth="1"/>
    <x:col min="10" max="10" width="13" hidden="0" customWidth="1"/>
    <x:col min="11" max="11" width="57" hidden="0" customWidth="1"/>
  </x:cols>
  <x:sheetData>
    <x:row r="2" ht="24" customHeight="1">
      <x:c r="B2" s="3" t="str">
        <x:v>Casos e resultados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B4" s="5" t="str">
        <x:v>Fonte: evidencias/execucao.json. Esperados definidos previamente em casos.json.</x:v>
      </x:c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2" customHeight="1">
      <x:c r="B6" s="10" t="str">
        <x:v>ID</x:v>
      </x:c>
      <x:c r="C6" s="10" t="str">
        <x:v>Requisitos</x:v>
      </x:c>
      <x:c r="D6" s="10" t="str">
        <x:v>Objetivo</x:v>
      </x:c>
      <x:c r="E6" s="10" t="str">
        <x:v>Pré-condições</x:v>
      </x:c>
      <x:c r="F6" s="10" t="str">
        <x:v>Passos</x:v>
      </x:c>
      <x:c r="G6" s="10" t="str">
        <x:v>Dados</x:v>
      </x:c>
      <x:c r="H6" s="10" t="str">
        <x:v>Esperado</x:v>
      </x:c>
      <x:c r="I6" s="10" t="str">
        <x:v>Obtido</x:v>
      </x:c>
      <x:c r="J6" s="10" t="str">
        <x:v>Status</x:v>
      </x:c>
      <x:c r="K6" s="10" t="str">
        <x:v>Evidências HTTP/MySQL</x:v>
      </x:c>
    </x:row>
    <x:row r="7" ht="96" customHeight="1">
      <x:c r="B7" s="11" t="str">
        <x:v>CT01</x:v>
      </x:c>
      <x:c r="C7" s="11" t="str">
        <x:v>RF01, RNF01, RNF04</x:v>
      </x:c>
      <x:c r="D7" s="11" t="str">
        <x:v>Cadastrar operador e verificar proteção da senha</x:v>
      </x:c>
      <x:c r="E7" s="11" t="str">
        <x:v>Servidor e banco de teste preparados; e-mail exclusivo.</x:v>
      </x:c>
      <x:c r="F7" s="11" t="str">
        <x:v>Enviar POST /usuarios com perfil operador.
Consultar o usuário no MySQL.
Comparar a senha de teste com o hash armazenado sem registrar ambos.</x:v>
      </x:c>
      <x:c r="G7" s="11" t="str">
        <x:v>{"nome":"Operador de Teste","email":"operador_&lt;execucao&gt;@example.test","senha":"[redigido]","tipo":"operador"}</x:v>
      </x:c>
      <x:c r="H7" s="11" t="str">
        <x:v>HTTP 201; perfil operador no MySQL; hash diferente da senha e reconhecido pelo bcrypt; resposta sem senha/hash.</x:v>
      </x:c>
      <x:c r="I7" s="11" t="str">
        <x:v>Todas as comparações deste caso corresponderam ao esperado previamente definido.
POST /usuarios: HTTP 201; 111.073 ms; id 1.</x:v>
      </x:c>
      <x:c r="J7" s="11" t="str">
        <x:v>Passou</x:v>
      </x:c>
      <x:c r="K7" s="11" t="str">
        <x:v>evidencias/execucao.json, CT01
Usuário no MySQL e verificação de hash: {"user":{"id":1,"nome":"Operador de Teste","email":"operador_20261009013711708_6f09f9@example.test","tipo":"operador"},"hashDifferentFromPlaintext":true,"bcryptComparisonPassed":true}.</x:v>
      </x:c>
    </x:row>
    <x:row r="8" ht="68" customHeight="1">
      <x:c r="B8" s="12" t="str">
        <x:v>CT02</x:v>
      </x:c>
      <x:c r="C8" s="12" t="str">
        <x:v>RF01</x:v>
      </x:c>
      <x:c r="D8" s="12" t="str">
        <x:v>Cadastrar administrador</x:v>
      </x:c>
      <x:c r="E8" s="12" t="str">
        <x:v>Servidor e banco de teste preparados; e-mail exclusivo.</x:v>
      </x:c>
      <x:c r="F8" s="12" t="str">
        <x:v>Enviar POST /usuarios com perfil administrador.
Consultar o perfil no MySQL.</x:v>
      </x:c>
      <x:c r="G8" s="12" t="str">
        <x:v>{"nome":"Administrador de Teste","email":"administrador_&lt;execucao&gt;@example.test","senha":"[redigido]","tipo":"administrador"}</x:v>
      </x:c>
      <x:c r="H8" s="12" t="str">
        <x:v>HTTP 201; perfil administrador persistido; resposta sem senha/hash.</x:v>
      </x:c>
      <x:c r="I8" s="12" t="str">
        <x:v>Todas as comparações deste caso corresponderam ao esperado previamente definido.
POST /usuarios: HTTP 201; 98.279 ms; id 2.</x:v>
      </x:c>
      <x:c r="J8" s="12" t="str">
        <x:v>Passou</x:v>
      </x:c>
      <x:c r="K8" s="12" t="str">
        <x:v>evidencias/execucao.json, CT02
Administrador no MySQL: {"id":2,"nome":"Administrador de Teste","email":"administrador_20261009013711708_6f09f9@example.test","tipo":"administrador"}.</x:v>
      </x:c>
    </x:row>
    <x:row r="9" ht="68" customHeight="1">
      <x:c r="B9" s="11" t="str">
        <x:v>CT03</x:v>
      </x:c>
      <x:c r="C9" s="11" t="str">
        <x:v>RF01, RNF04</x:v>
      </x:c>
      <x:c r="D9" s="11" t="str">
        <x:v>Recusar e-mail duplicado</x:v>
      </x:c>
      <x:c r="E9" s="11" t="str">
        <x:v>Operador de CT01 cadastrado.</x:v>
      </x:c>
      <x:c r="F9" s="11" t="str">
        <x:v>Repetir POST /usuarios com o e-mail do operador.
Contar registros correspondentes no MySQL.</x:v>
      </x:c>
      <x:c r="G9" s="11" t="str">
        <x:v>{"email":"Mesmo e-mail de CT01","senha":"[redigido]","tipo":"operador"}</x:v>
      </x:c>
      <x:c r="H9" s="11" t="str">
        <x:v>HTTP 400; mensagem em português; permanece um único usuário com esse e-mail.</x:v>
      </x:c>
      <x:c r="I9" s="11" t="str">
        <x:v>Todas as comparações deste caso corresponderam ao esperado previamente definido.
POST /usuarios: HTTP 400; 235.628 ms; Email já cadastrado.</x:v>
      </x:c>
      <x:c r="J9" s="11" t="str">
        <x:v>Passou</x:v>
      </x:c>
      <x:c r="K9" s="11" t="str">
        <x:v>evidencias/execucao.json, CT03
E-mail único no MySQL: 1 registros. IDs: 1.</x:v>
      </x:c>
    </x:row>
    <x:row r="10" ht="96" customHeight="1">
      <x:c r="B10" s="12" t="str">
        <x:v>CT04</x:v>
      </x:c>
      <x:c r="C10" s="12" t="str">
        <x:v>RF01, RNF04</x:v>
      </x:c>
      <x:c r="D10" s="12" t="str">
        <x:v>Recusar perfil inválido e cadastro incompleto</x:v>
      </x:c>
      <x:c r="E10" s="12" t="str">
        <x:v>Servidor e banco de teste preparados.</x:v>
      </x:c>
      <x:c r="F10" s="12" t="str">
        <x:v>Enviar cadastro com tipo gerente.
Enviar cadastro sem nome.
Conferir ausência dos usuários inválidos no MySQL.</x:v>
      </x:c>
      <x:c r="G10" s="12" t="str">
        <x:v>{"tipos":["gerente"],"campos_ausentes":["nome"],"senha":"[redigido]"}</x:v>
      </x:c>
      <x:c r="H10" s="12" t="str">
        <x:v>HTTP 400 em cada entrada; mensagens em português; nenhum usuário inválido gravado.</x:v>
      </x:c>
      <x:c r="I10" s="12" t="str">
        <x:v>Todas as comparações deste caso corresponderam ao esperado previamente definido.
POST /usuarios: HTTP 400; 7.933 ms; Perfil deve ser administrador ou operador.
POST /usuarios: HTTP 400; 15.035 ms; Nome deve ser preenchido.</x:v>
      </x:c>
      <x:c r="J10" s="12" t="str">
        <x:v>Passou</x:v>
      </x:c>
      <x:c r="K10" s="12" t="str">
        <x:v>evidencias/execucao.json, CT04
Ausência de usuário inválido no MySQL: {"email":"perfil_20261009013711708_6f09f9@example.test","rows":[]}.
Ausência de usuário inválido no MySQL: {"email":"incompleto_20261009013711708_6f09f9@example.test","rows":[]}.</x:v>
      </x:c>
    </x:row>
    <x:row r="11" ht="110" customHeight="1">
      <x:c r="B11" s="11" t="str">
        <x:v>CT05</x:v>
      </x:c>
      <x:c r="C11" s="11" t="str">
        <x:v>RF02, RNF02</x:v>
      </x:c>
      <x:c r="D11" s="11" t="str">
        <x:v>Login dos dois perfis com token de oito horas</x:v>
      </x:c>
      <x:c r="E11" s="11" t="str">
        <x:v>CT01 e CT02 cadastrados.</x:v>
      </x:c>
      <x:c r="F11" s="11" t="str">
        <x:v>Enviar POST /login para os dois perfis.
Decodificar apenas id/tipo/iat/exp dos tokens.</x:v>
      </x:c>
      <x:c r="G11" s="11" t="str">
        <x:v>{"emails":"Operador e administrador de teste","senha":"[redigido]"}</x:v>
      </x:c>
      <x:c r="H11" s="11" t="str">
        <x:v>HTTP 200 para os dois; token presente com id e perfil corretos, sem senha/hash; exp-iat=28800 segundos.</x:v>
      </x:c>
      <x:c r="I11" s="11" t="str">
        <x:v>Todas as comparações deste caso corresponderam ao esperado previamente definido.
POST /login: HTTP 200; 73.24 ms; token presente e oculto.
POST /login: HTTP 200; 56.978 ms; token presente e oculto.</x:v>
      </x:c>
      <x:c r="J11" s="11" t="str">
        <x:v>Passou</x:v>
      </x:c>
      <x:c r="K11" s="11" t="str">
        <x:v>evidencias/execucao.json, CT05
Conteúdo público do JWT sem assinatura/token: {"id":1,"tipo":"operador","durationSeconds":28800,"passwordPresent":false}.
Conteúdo público do JWT sem assinatura/token: {"id":2,"tipo":"administrador","durationSeconds":28800,"passwordPresent":false}.</x:v>
      </x:c>
    </x:row>
    <x:row r="12" ht="96" customHeight="1">
      <x:c r="B12" s="12" t="str">
        <x:v>CT06</x:v>
      </x:c>
      <x:c r="C12" s="12" t="str">
        <x:v>RF02, RNF04</x:v>
      </x:c>
      <x:c r="D12" s="12" t="str">
        <x:v>Recusar credenciais inválidas</x:v>
      </x:c>
      <x:c r="E12" s="12" t="str">
        <x:v>CT01 cadastrado.</x:v>
      </x:c>
      <x:c r="F12" s="12" t="str">
        <x:v>Tentar login do operador com senha errada.
Tentar login com e-mail inexistente.</x:v>
      </x:c>
      <x:c r="G12" s="12" t="str">
        <x:v>{"senha":"[redigido]","email_inexistente":"inexistente_&lt;execucao&gt;@example.test"}</x:v>
      </x:c>
      <x:c r="H12" s="12" t="str">
        <x:v>HTTP 401 em cada tentativa; mensagem de credenciais inválidas em português; nenhum token.</x:v>
      </x:c>
      <x:c r="I12" s="12" t="str">
        <x:v>Todas as comparações deste caso corresponderam ao esperado previamente definido.
POST /login: HTTP 401; 62.623 ms; Email ou senha inválidos.
POST /login: HTTP 401; 2.545 ms; Email ou senha inválidos.</x:v>
      </x:c>
      <x:c r="J12" s="12" t="str">
        <x:v>Passou</x:v>
      </x:c>
      <x:c r="K12" s="12" t="str">
        <x:v>evidencias/execucao.json, CT06
</x:v>
      </x:c>
    </x:row>
    <x:row r="13" ht="110" customHeight="1">
      <x:c r="B13" s="11" t="str">
        <x:v>CT07</x:v>
      </x:c>
      <x:c r="C13" s="11" t="str">
        <x:v>RNF02, RNF04</x:v>
      </x:c>
      <x:c r="D13" s="11" t="str">
        <x:v>Bloquear requisições sem token, com token inválido e expirado</x:v>
      </x:c>
      <x:c r="E13" s="11" t="str">
        <x:v>CT01 cadastrado; chave JWT disponível somente em memória.</x:v>
      </x:c>
      <x:c r="F13" s="11" t="str">
        <x:v>Enviar GET /produtos sem Authorization.
Enviar com token inválido.
Enviar com token assinado e já expirado.</x:v>
      </x:c>
      <x:c r="G13" s="11" t="str">
        <x:v>{"authorization":"[redigido]"}</x:v>
      </x:c>
      <x:c r="H13" s="11" t="str">
        <x:v>HTTP 401 nas três requisições; mensagens em português; nenhum acesso à listagem.</x:v>
      </x:c>
      <x:c r="I13" s="11" t="str">
        <x:v>Todas as comparações deste caso corresponderam ao esperado previamente definido.
GET /produtos: HTTP 401; 4.571 ms; Token não enviado.
GET /produtos: HTTP 401; 15.642 ms; Token inválido ou expirado.
GET /produtos: HTTP 401; 15.584 ms; Token inválido ou expirado.</x:v>
      </x:c>
      <x:c r="J13" s="11" t="str">
        <x:v>Passou</x:v>
      </x:c>
      <x:c r="K13" s="11" t="str">
        <x:v>evidencias/execucao.json, CT07
</x:v>
      </x:c>
    </x:row>
    <x:row r="14" ht="82" customHeight="1">
      <x:c r="B14" s="12" t="str">
        <x:v>CT08</x:v>
      </x:c>
      <x:c r="C14" s="12" t="str">
        <x:v>RF03</x:v>
      </x:c>
      <x:c r="D14" s="12" t="str">
        <x:v>Cadastrar produto com estoque inicial informado</x:v>
      </x:c>
      <x:c r="E14" s="12" t="str">
        <x:v>Token válido de operador.</x:v>
      </x:c>
      <x:c r="F14" s="12" t="str">
        <x:v>Enviar POST /produtos com estoque 10.
Consultar o produto no MySQL.</x:v>
      </x:c>
      <x:c r="G14" s="12" t="str">
        <x:v>{"nome":"Parafuso Principal","descricao":"Produto principal dos testes","quantidade_estoque":10,"authorization":"[redigido]"}</x:v>
      </x:c>
      <x:c r="H14" s="12" t="str">
        <x:v>HTTP 201; nome e descrição persistidos; quantidade_estoque=10 no MySQL.</x:v>
      </x:c>
      <x:c r="I14" s="12" t="str">
        <x:v>Todas as comparações deste caso corresponderam ao esperado previamente definido.
POST /produtos: HTTP 201; 47.972 ms; id 1.</x:v>
      </x:c>
      <x:c r="J14" s="12" t="str">
        <x:v>Passou</x:v>
      </x:c>
      <x:c r="K14" s="12" t="str">
        <x:v>evidencias/execucao.json, CT08
Produto inicial no MySQL: {"id":1,"nome":"Parafuso Principal","descricao":"Produto principal dos testes","quantidade_estoque":10,"createdAt":"2026-10-09T01:37:14Z","updatedAt":"2026-10-09T01:37:14Z"}.</x:v>
      </x:c>
    </x:row>
    <x:row r="15" ht="278" customHeight="1">
      <x:c r="B15" s="11" t="str">
        <x:v>CT09</x:v>
      </x:c>
      <x:c r="C15" s="11" t="str">
        <x:v>RF03, RNF04</x:v>
      </x:c>
      <x:c r="D15" s="11" t="str">
        <x:v>Estoque padrão zero e validação do cadastro</x:v>
      </x:c>
      <x:c r="E15" s="11" t="str">
        <x:v>Token válido; CT08 cadastrado.</x:v>
      </x:c>
      <x:c r="F15" s="11" t="str">
        <x:v>Cadastrar produto sem quantidade_estoque.
Tentar cadastrar com estoque negativo e fracionário e sem nome.
Preparar dois outros produtos válidos para paginação/exclusão.</x:v>
      </x:c>
      <x:c r="G15" s="11" t="str">
        <x:v>{"produto_sem_estoque":{"nome":"Parafuso Reserva","descricao":"Estoque padrão"},"estoques_invalidos":[-1,1.5],"campo_ausente":"nome","authorization":"[redigido]"}</x:v>
      </x:c>
      <x:c r="H15" s="11" t="str">
        <x:v>Produto sem estoque recebe HTTP 201 e saldo zero; entradas inválidas recebem HTTP 400 e não são gravadas; fixtures adicionais válidas recebem 201.</x:v>
      </x:c>
      <x:c r="I15" s="11" t="str">
        <x:v>Todas as comparações deste caso corresponderam ao esperado previamente definido.
POST /produtos: HTTP 201; 62.83 ms; id 2.
POST /produtos: HTTP 400; 8.721 ms; Estoque inicial deve ser um número inteiro não negativo.
POST /produtos: HTTP 400; 13.33 ms; Estoque inicial deve ser um número inteiro não negativo.
POST /produtos: HTTP 400; 14.229 ms; Nome deve ser preenchido.
POST /produtos: HTTP 201; 63.662 ms; id 3.
POST /produtos: HTTP 201; 42.345 ms; id 4.</x:v>
      </x:c>
      <x:c r="J15" s="11" t="str">
        <x:v>Passou</x:v>
      </x:c>
      <x:c r="K15" s="11" t="str">
        <x:v>evidencias/execucao.json, CT09
Produto com estoque padrão no MySQL: {"id":2,"nome":"Parafuso Reserva","descricao":"Estoque padrão","quantidade_estoque":0,"createdAt":"2026-10-09T01:37:14Z","updatedAt":"2026-10-09T01:37:14Z"}.
Contagem de produtos após cadastro recusado: antes 1 registros. IDs: ; depois 1 registros. IDs: .
Contagem de produtos após cadastro recusado: antes 1 registros. IDs: ; depois 1 registros. IDs: .
Contagem de produtos após cadastro recusado: antes 1 registros. IDs: ; depois 1 registros. IDs: .
Fixture cadastrada pela API: {"id":3,"nome":"Martelo Descartável","descricao":"Produto reservado à exclusão","quantidade_estoque":0,"createdAt":"2026-10-09T01:37:15Z","updatedAt":"2026-10-09T01:37:15Z"}.
Fixture cadastrada pela API: {"id":4,"nome":"Alicate Outro","descricao":"Outro produto da paginação","quantidade_estoque":2,"createdAt":"2026-10-09T01:37:15Z","updatedAt":"2026-10-09T01:37:15Z"}.</x:v>
      </x:c>
    </x:row>
    <x:row r="16" ht="124" customHeight="1">
      <x:c r="B16" s="12" t="str">
        <x:v>CT10</x:v>
      </x:c>
      <x:c r="C16" s="12" t="str">
        <x:v>RF04, RNF03, RNF05</x:v>
      </x:c>
      <x:c r="D16" s="12" t="str">
        <x:v>Listagem paginada, resposta em array e desempenho</x:v>
      </x:c>
      <x:c r="E16" s="12" t="str">
        <x:v>Quatro produtos válidos no banco; token válido.</x:v>
      </x:c>
      <x:c r="F16" s="12" t="str">
        <x:v>Solicitar GET /produtos?pagina=1&amp;limite=2.
Solicitar página 2 com o mesmo limite.
Solicitar listagem com parâmetros padrão.
Medir duração de cada requisição, incluindo transporte HTTP.</x:v>
      </x:c>
      <x:c r="G16" s="12" t="str">
        <x:v>{"pagina":[1,2],"limite":2,"authorization":"[redigido]"}</x:v>
      </x:c>
      <x:c r="H16" s="12" t="str">
        <x:v>HTTP 200 e arrays; páginas têm no máximo dois produtos e não repetem ids; sem parâmetros retorna no máximo dez; cada listagem medida em até 2000 ms.</x:v>
      </x:c>
      <x:c r="I16" s="12" t="str">
        <x:v>Todas as comparações deste caso corresponderam ao esperado previamente definido.
GET /produtos?pagina=1&amp;limite=2: HTTP 200; 20.541 ms; 2 produtos; IDs 1, 2.
GET /produtos?pagina=2&amp;limite=2: HTTP 200; 13.79 ms; 2 produtos; IDs 3, 4.
GET /produtos: HTTP 200; 15.489 ms; 4 produtos; IDs 1, 2, 3, 4.</x:v>
      </x:c>
      <x:c r="J16" s="12" t="str">
        <x:v>Passou</x:v>
      </x:c>
      <x:c r="K16" s="12" t="str">
        <x:v>evidencias/execucao.json, CT10
Dados existentes e páginas sem repetição: Registros completos no JSON de evidências.</x:v>
      </x:c>
    </x:row>
    <x:row r="17" ht="68" customHeight="1">
      <x:c r="B17" s="11" t="str">
        <x:v>CT11</x:v>
      </x:c>
      <x:c r="C17" s="11" t="str">
        <x:v>RF04</x:v>
      </x:c>
      <x:c r="D17" s="11" t="str">
        <x:v>Filtro por trecho do nome</x:v>
      </x:c>
      <x:c r="E17" s="11" t="str">
        <x:v>Dois produtos cujo nome contém Parafuso e dois com outros nomes.</x:v>
      </x:c>
      <x:c r="F17" s="11" t="str">
        <x:v>Enviar GET /produtos?nome=Parafuso.
Comparar ids com o MySQL.</x:v>
      </x:c>
      <x:c r="G17" s="11" t="str">
        <x:v>{"nome":"Parafuso","authorization":"[redigido]"}</x:v>
      </x:c>
      <x:c r="H17" s="11" t="str">
        <x:v>HTTP 200; somente os dois produtos cujos nomes contêm Parafuso.</x:v>
      </x:c>
      <x:c r="I17" s="11" t="str">
        <x:v>Todas as comparações deste caso corresponderam ao esperado previamente definido.
GET /produtos?nome=Parafuso: HTTP 200; 14.723 ms; 2 produtos; IDs 1, 2.</x:v>
      </x:c>
      <x:c r="J17" s="11" t="str">
        <x:v>Passou</x:v>
      </x:c>
      <x:c r="K17" s="11" t="str">
        <x:v>evidencias/execucao.json, CT11
Ids esperados no MySQL: 2 registros. IDs: 1, 2.</x:v>
      </x:c>
    </x:row>
    <x:row r="18" ht="96" customHeight="1">
      <x:c r="B18" s="12" t="str">
        <x:v>CT12</x:v>
      </x:c>
      <x:c r="C18" s="12" t="str">
        <x:v>RF04</x:v>
      </x:c>
      <x:c r="D18" s="12" t="str">
        <x:v>Filtro por data de cadastro e combinação com nome</x:v>
      </x:c>
      <x:c r="E18" s="12" t="str">
        <x:v>Datas dos quatro produtos ajustadas no banco de teste: dois em 2020 e dois em 2025; nenhum dado da aplicação alterado.</x:v>
      </x:c>
      <x:c r="F18" s="12" t="str">
        <x:v>Solicitar data=2021-01-01.
Solicitar nome=Parafuso junto com data=2021-01-01.</x:v>
      </x:c>
      <x:c r="G18" s="12" t="str">
        <x:v>{"data":"2021-01-01","nome_combinado":"Parafuso","authorization":"[redigido]"}</x:v>
      </x:c>
      <x:c r="H18" s="12" t="str">
        <x:v>HTTP 200; filtro de data retorna somente os dois cadastrados em 2025; combinação com Parafuso retorna array vazio.</x:v>
      </x:c>
      <x:c r="I18" s="12" t="str">
        <x:v>Todas as comparações deste caso corresponderam ao esperado previamente definido.
GET /produtos?data=2021-01-01: HTTP 200; 12.157 ms; 2 produtos; IDs 3, 4.
GET /produtos?nome=Parafuso&amp;data=2021-01-01: HTTP 200; 16.626 ms; 0 produtos; IDs .</x:v>
      </x:c>
      <x:c r="J18" s="12" t="str">
        <x:v>Passou</x:v>
      </x:c>
      <x:c r="K18" s="12" t="str">
        <x:v>evidencias/execucao.json, CT12
Datas de cadastro controladas no MySQL: 4 registros. IDs: 1, 2, 3, 4.</x:v>
      </x:c>
    </x:row>
    <x:row r="19" ht="152" customHeight="1">
      <x:c r="B19" s="11" t="str">
        <x:v>CT13</x:v>
      </x:c>
      <x:c r="C19" s="11" t="str">
        <x:v>RF04, RNF04</x:v>
      </x:c>
      <x:c r="D19" s="11" t="str">
        <x:v>Recusar paginação e data inválidas</x:v>
      </x:c>
      <x:c r="E19" s="11" t="str">
        <x:v>Token válido.</x:v>
      </x:c>
      <x:c r="F19" s="11" t="str">
        <x:v>Solicitar pagina=0.
Solicitar limite=0.
Solicitar pagina=1.5.
Solicitar data=nao-e-data.</x:v>
      </x:c>
      <x:c r="G19" s="11" t="str">
        <x:v>{"queries":["pagina=0","limite=0","pagina=1.5","data=nao-e-data"],"authorization":"[redigido]"}</x:v>
      </x:c>
      <x:c r="H19" s="11" t="str">
        <x:v>HTTP 400 em cada requisição; mensagens claras em português.</x:v>
      </x:c>
      <x:c r="I19" s="11" t="str">
        <x:v>Todas as comparações deste caso corresponderam ao esperado previamente definido.
GET /produtos?pagina=0: HTTP 400; 13.14 ms; Página deve ser um número inteiro maior que zero.
GET /produtos?limite=0: HTTP 400; 15.234 ms; Limite deve ser um número inteiro maior que zero.
GET /produtos?pagina=1.5: HTTP 400; 15.735 ms; Página deve ser um número inteiro maior que zero.
GET /produtos?data=nao-e-data: HTTP 400; 0.898 ms; Filtro de data inválido.</x:v>
      </x:c>
      <x:c r="J19" s="11" t="str">
        <x:v>Passou</x:v>
      </x:c>
      <x:c r="K19" s="11" t="str">
        <x:v>evidencias/execucao.json, CT13
</x:v>
      </x:c>
    </x:row>
    <x:row r="20" ht="82" customHeight="1">
      <x:c r="B20" s="12" t="str">
        <x:v>CT14</x:v>
      </x:c>
      <x:c r="C20" s="12" t="str">
        <x:v>RF05, RN01</x:v>
      </x:c>
      <x:c r="D20" s="12" t="str">
        <x:v>Impedir exclusão por operador</x:v>
      </x:c>
      <x:c r="E20" s="12" t="str">
        <x:v>Produto sem movimentações reservado para exclusão; operador autenticado.</x:v>
      </x:c>
      <x:c r="F20" s="12" t="str">
        <x:v>Enviar DELETE /produtos/:id como operador.
Confirmar no MySQL que o produto continua presente.</x:v>
      </x:c>
      <x:c r="G20" s="12" t="str">
        <x:v>{"produto_id":"Produto reservado","authorization":"[redigido]"}</x:v>
      </x:c>
      <x:c r="H20" s="12" t="str">
        <x:v>HTTP 403; mensagem 'Sem permissão para essa ação'; produto permanece no banco.</x:v>
      </x:c>
      <x:c r="I20" s="12" t="str">
        <x:v>Todas as comparações deste caso corresponderam ao esperado previamente definido.
DELETE /produtos/3: HTTP 403; 0.899 ms; Sem permissão para essa ação.</x:v>
      </x:c>
      <x:c r="J20" s="12" t="str">
        <x:v>Passou</x:v>
      </x:c>
      <x:c r="K20" s="12" t="str">
        <x:v>evidencias/execucao.json, CT14
Produto preservado após bloqueio: {"id":3,"nome":"Martelo Descartável","descricao":"Produto reservado à exclusão","quantidade_estoque":0,"createdAt":"2025-01-01T12:00:00Z","updatedAt":"2026-10-09T01:37:15Z"}.</x:v>
      </x:c>
    </x:row>
    <x:row r="21" ht="96" customHeight="1">
      <x:c r="B21" s="11" t="str">
        <x:v>CT15</x:v>
      </x:c>
      <x:c r="C21" s="11" t="str">
        <x:v>RF05, RN01, RNF04</x:v>
      </x:c>
      <x:c r="D21" s="11" t="str">
        <x:v>Excluir por administrador e tratar id inexistente</x:v>
      </x:c>
      <x:c r="E21" s="11" t="str">
        <x:v>CT14 preservou o produto; administrador autenticado.</x:v>
      </x:c>
      <x:c r="F21" s="11" t="str">
        <x:v>Excluir o produto reservado como administrador.
Conferir ausência no MySQL.
Repetir exclusão do mesmo id.</x:v>
      </x:c>
      <x:c r="G21" s="11" t="str">
        <x:v>{"produto_id":"Produto reservado","authorization":"[redigido]"}</x:v>
      </x:c>
      <x:c r="H21" s="11" t="str">
        <x:v>Primeira requisição HTTP 200 com 'Produto removido com sucesso' e registro ausente; segunda requisição HTTP 404 com mensagem em português.</x:v>
      </x:c>
      <x:c r="I21" s="11" t="str">
        <x:v>Todas as comparações deste caso corresponderam ao esperado previamente definido.
DELETE /produtos/3: HTTP 200; 40.87 ms; Produto removido com sucesso.
DELETE /produtos/3: HTTP 404; 2.736 ms; Produto não encontrado.</x:v>
      </x:c>
      <x:c r="J21" s="11" t="str">
        <x:v>Passou</x:v>
      </x:c>
      <x:c r="K21" s="11" t="str">
        <x:v>evidencias/execucao.json, CT15
Produto ausente no MySQL após exclusão: {"id":3,"row":null}.</x:v>
      </x:c>
    </x:row>
    <x:row r="22" ht="68" customHeight="1">
      <x:c r="B22" s="12" t="str">
        <x:v>CT16</x:v>
      </x:c>
      <x:c r="C22" s="12" t="str">
        <x:v>RF06, RF07, RN02, RN03</x:v>
      </x:c>
      <x:c r="D22" s="12" t="str">
        <x:v>Registrar entrada e responsável do token</x:v>
      </x:c>
      <x:c r="E22" s="12" t="str">
        <x:v>Produto principal com estoque 10; operador autenticado.</x:v>
      </x:c>
      <x:c r="F22" s="12" t="str">
        <x:v>Enviar entrada de cinco unidades com usuario_id forjado igual ao administrador.
Consultar movimento e produto no MySQL.</x:v>
      </x:c>
      <x:c r="G22" s="12" t="str">
        <x:v>{"produto_id":"Produto principal","tipo":"entrada","quantidade":5,"usuario_id":"Id do administrador (forjado)","authorization":"[redigido]"}</x:v>
      </x:c>
      <x:c r="H22" s="12" t="str">
        <x:v>HTTP 201; estoque=15; movimentação com quantidade=5, tipo entrada, data preenchida e usuario_id do operador, ignorando o id forjado.</x:v>
      </x:c>
      <x:c r="I22" s="12" t="str">
        <x:v>Todas as comparações deste caso corresponderam ao esperado previamente definido.
POST /movimentacoes: HTTP 201; 45.064 ms; id 1.</x:v>
      </x:c>
      <x:c r="J22" s="12" t="str">
        <x:v>Passou</x:v>
      </x:c>
      <x:c r="K22" s="12" t="str">
        <x:v>evidencias/execucao.json, CT16
Entrada, saldo e responsável reais no MySQL: antes Estoque 10; 0 movimentações; depois Estoque 15; 1 movimentações.</x:v>
      </x:c>
    </x:row>
    <x:row r="23" ht="68" customHeight="1">
      <x:c r="B23" s="11" t="str">
        <x:v>CT17</x:v>
      </x:c>
      <x:c r="C23" s="11" t="str">
        <x:v>RF06, RF07, RN02, RN03, RN05</x:v>
      </x:c>
      <x:c r="D23" s="11" t="str">
        <x:v>Registrar saída e reduzir estoque</x:v>
      </x:c>
      <x:c r="E23" s="11" t="str">
        <x:v>CT16 deixou estoque 15; administrador autenticado.</x:v>
      </x:c>
      <x:c r="F23" s="11" t="str">
        <x:v>Enviar saída de três unidades.
Consultar movimento e produto no MySQL.</x:v>
      </x:c>
      <x:c r="G23" s="11" t="str">
        <x:v>{"produto_id":"Produto principal","tipo":"saida","quantidade":3,"authorization":"[redigido]"}</x:v>
      </x:c>
      <x:c r="H23" s="11" t="str">
        <x:v>HTTP 201; estoque=12; movimentação de saída com responsável administrador e data preenchida.</x:v>
      </x:c>
      <x:c r="I23" s="11" t="str">
        <x:v>Todas as comparações deste caso corresponderam ao esperado previamente definido.
POST /movimentacoes: HTTP 201; 38.325 ms; id 2.</x:v>
      </x:c>
      <x:c r="J23" s="11" t="str">
        <x:v>Passou</x:v>
      </x:c>
      <x:c r="K23" s="11" t="str">
        <x:v>evidencias/execucao.json, CT17
Saída, saldo e responsável reais no MySQL: antes Estoque 15; 1 movimentações; depois Estoque 12; 2 movimentações.</x:v>
      </x:c>
    </x:row>
    <x:row r="24" ht="68" customHeight="1">
      <x:c r="B24" s="12" t="str">
        <x:v>CT18</x:v>
      </x:c>
      <x:c r="C24" s="12" t="str">
        <x:v>RF06, RN05, RNF04</x:v>
      </x:c>
      <x:c r="D24" s="12" t="str">
        <x:v>Recusar saída maior que o estoque</x:v>
      </x:c>
      <x:c r="E24" s="12" t="str">
        <x:v>Produto principal com saldo disponível; token válido.</x:v>
      </x:c>
      <x:c r="F24" s="12" t="str">
        <x:v>Capturar saldo e quantidade de movimentos no MySQL.
Enviar saída de 999 unidades.
Comparar saldo e histórico depois.</x:v>
      </x:c>
      <x:c r="G24" s="12" t="str">
        <x:v>{"produto_id":"Produto principal","tipo":"saida","quantidade":999,"authorization":"[redigido]"}</x:v>
      </x:c>
      <x:c r="H24" s="12" t="str">
        <x:v>HTTP 400; mensagem 'Quantidade insuficiente em estoque'; saldo e histórico permanecem iguais.</x:v>
      </x:c>
      <x:c r="I24" s="12" t="str">
        <x:v>Todas as comparações deste caso corresponderam ao esperado previamente definido.
POST /movimentacoes: HTTP 400; 3.945 ms; Quantidade insuficiente em estoque.</x:v>
      </x:c>
      <x:c r="J24" s="12" t="str">
        <x:v>Passou</x:v>
      </x:c>
      <x:c r="K24" s="12" t="str">
        <x:v>evidencias/execucao.json, CT18
MySQL antes e depois da requisição recusada: antes Estoque 12; 2 movimentações; depois Estoque 12; 2 movimentações.</x:v>
      </x:c>
    </x:row>
    <x:row r="25" ht="152" customHeight="1">
      <x:c r="B25" s="11" t="str">
        <x:v>CT19</x:v>
      </x:c>
      <x:c r="C25" s="11" t="str">
        <x:v>RF06, RN04, RNF04</x:v>
      </x:c>
      <x:c r="D25" s="11" t="str">
        <x:v>Recusar quantidade zero, negativa e fracionária</x:v>
      </x:c>
      <x:c r="E25" s="11" t="str">
        <x:v>Produto principal existente; token válido.</x:v>
      </x:c>
      <x:c r="F25" s="11" t="str">
        <x:v>Enviar entradas com quantidades 0, -1 e 1.5.
Conferir saldo e histórico após cada tentativa.</x:v>
      </x:c>
      <x:c r="G25" s="11" t="str">
        <x:v>{"produto_id":"Produto principal","tipo":"entrada","quantidades":[0,-1,1.5],"authorization":"[redigido]"}</x:v>
      </x:c>
      <x:c r="H25" s="11" t="str">
        <x:v>HTTP 400 em cada entrada; mensagens em português; saldo e histórico sem alteração.</x:v>
      </x:c>
      <x:c r="I25" s="11" t="str">
        <x:v>Todas as comparações deste caso corresponderam ao esperado previamente definido.
POST /movimentacoes: HTTP 400; 12.683 ms; Quantidade deve ser um número inteiro maior que zero.
POST /movimentacoes: HTTP 400; 13.919 ms; Quantidade deve ser um número inteiro maior que zero.
POST /movimentacoes: HTTP 400; 13.985 ms; Quantidade deve ser um número inteiro maior que zero.</x:v>
      </x:c>
      <x:c r="J25" s="11" t="str">
        <x:v>Passou</x:v>
      </x:c>
      <x:c r="K25" s="11" t="str">
        <x:v>evidencias/execucao.json, CT19
MySQL antes e depois da requisição recusada: antes Estoque 12; 2 movimentações; depois Estoque 12; 2 movimentações.
MySQL antes e depois da requisição recusada: antes Estoque 12; 2 movimentações; depois Estoque 12; 2 movimentações.
MySQL antes e depois da requisição recusada: antes Estoque 12; 2 movimentações; depois Estoque 12; 2 movimentações.</x:v>
      </x:c>
    </x:row>
    <x:row r="26" ht="68" customHeight="1">
      <x:c r="B26" s="12" t="str">
        <x:v>CT20</x:v>
      </x:c>
      <x:c r="C26" s="12" t="str">
        <x:v>RF06, RN03, RNF04</x:v>
      </x:c>
      <x:c r="D26" s="12" t="str">
        <x:v>Recusar tipo de movimentação inválido</x:v>
      </x:c>
      <x:c r="E26" s="12" t="str">
        <x:v>Produto principal existente; token válido.</x:v>
      </x:c>
      <x:c r="F26" s="12" t="str">
        <x:v>Enviar movimento com tipo ajuste e quantidade 2.
Comparar saldo e histórico antes/depois.</x:v>
      </x:c>
      <x:c r="G26" s="12" t="str">
        <x:v>{"produto_id":"Produto principal","tipo":"ajuste","quantidade":2,"authorization":"[redigido]"}</x:v>
      </x:c>
      <x:c r="H26" s="12" t="str">
        <x:v>HTTP 400; mensagem em português; saldo e histórico sem alteração.</x:v>
      </x:c>
      <x:c r="I26" s="12" t="str">
        <x:v>Todas as comparações deste caso corresponderam ao esperado previamente definido.
POST /movimentacoes: HTTP 400; 13.838 ms; Tipo de movimentação deve ser entrada ou saida.</x:v>
      </x:c>
      <x:c r="J26" s="12" t="str">
        <x:v>Passou</x:v>
      </x:c>
      <x:c r="K26" s="12" t="str">
        <x:v>evidencias/execucao.json, CT20
MySQL antes e depois da requisição recusada: antes Estoque 12; 2 movimentações; depois Estoque 12; 2 movimentações.</x:v>
      </x:c>
    </x:row>
    <x:row r="27" ht="68" customHeight="1">
      <x:c r="B27" s="11" t="str">
        <x:v>CT21</x:v>
      </x:c>
      <x:c r="C27" s="11" t="str">
        <x:v>RF06, RN02, RNF04</x:v>
      </x:c>
      <x:c r="D27" s="11" t="str">
        <x:v>Recusar movimentação de produto inexistente</x:v>
      </x:c>
      <x:c r="E27" s="11" t="str">
        <x:v>Token válido; produto 2147483647 ausente.</x:v>
      </x:c>
      <x:c r="F27" s="11" t="str">
        <x:v>Enviar movimento para id inexistente.
Conferir quantidade de movimentações antes/depois.</x:v>
      </x:c>
      <x:c r="G27" s="11" t="str">
        <x:v>{"produto_id":2147483647,"tipo":"entrada","quantidade":1,"authorization":"[redigido]"}</x:v>
      </x:c>
      <x:c r="H27" s="11" t="str">
        <x:v>HTTP 404; mensagem em português; nenhuma movimentação criada.</x:v>
      </x:c>
      <x:c r="I27" s="11" t="str">
        <x:v>Todas as comparações deste caso corresponderam ao esperado previamente definido.
POST /movimentacoes: HTTP 404; 15.477 ms; Produto não encontrado.</x:v>
      </x:c>
      <x:c r="J27" s="11" t="str">
        <x:v>Passou</x:v>
      </x:c>
      <x:c r="K27" s="11" t="str">
        <x:v>evidencias/execucao.json, CT21
Contagem de movimentos preservada no MySQL: antes 2; depois 2.</x:v>
      </x:c>
    </x:row>
    <x:row r="28" ht="82" customHeight="1">
      <x:c r="B28" s="12" t="str">
        <x:v>CT22</x:v>
      </x:c>
      <x:c r="C28" s="12" t="str">
        <x:v>RF06, RN04, RN05</x:v>
      </x:c>
      <x:c r="D28" s="12" t="str">
        <x:v>Aceitar o valor limite de uma unidade</x:v>
      </x:c>
      <x:c r="E28" s="12" t="str">
        <x:v>Produto principal com estoque disponível; token válido.</x:v>
      </x:c>
      <x:c r="F28" s="12" t="str">
        <x:v>Registrar entrada de uma unidade.
Conferir incremento de um no saldo.
Registrar saída de uma unidade.
Conferir retorno ao saldo anterior e dois novos movimentos.</x:v>
      </x:c>
      <x:c r="G28" s="12" t="str">
        <x:v>{"produto_id":"Produto principal","tipos":["entrada","saida"],"quantidade":1,"authorization":"[redigido]"}</x:v>
      </x:c>
      <x:c r="H28" s="12" t="str">
        <x:v>HTTP 201 nas duas movimentações; quantidade=1 em ambas; saldo incrementa um e depois retorna ao valor inicial; dois movimentos novos com responsável.</x:v>
      </x:c>
      <x:c r="I28" s="12" t="str">
        <x:v>Todas as comparações deste caso corresponderam ao esperado previamente definido.
POST /movimentacoes: HTTP 201; 41.275 ms; id 3.
POST /movimentacoes: HTTP 201; 49.062 ms; id 4.</x:v>
      </x:c>
      <x:c r="J28" s="12" t="str">
        <x:v>Passou</x:v>
      </x:c>
      <x:c r="K28" s="12" t="str">
        <x:v>evidencias/execucao.json, CT22
Valor limite: estoque e movimentos reais no MySQL: antes Estoque 12; 2 movimentações; depois Estoque 12; 4 movimentações.</x:v>
      </x:c>
    </x:row>
  </x:sheetData>
  <x:conditionalFormatting sqref="J7:J28">
    <x:cfRule type="containsText" dxfId="0" priority="1" operator="containsText" text="Falhou"/>
    <x:cfRule type="containsText" dxfId="1" priority="2" operator="containsText" text="Bloqueado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" hidden="0" customWidth="1"/>
    <x:col min="2" max="2" width="13" hidden="0" customWidth="1"/>
    <x:col min="3" max="3" width="87" hidden="0" customWidth="1"/>
    <x:col min="4" max="4" width="41" hidden="0" customWidth="1"/>
    <x:col min="5" max="5" width="16" hidden="0" customWidth="1"/>
  </x:cols>
  <x:sheetData>
    <x:row r="2" ht="24" customHeight="1">
      <x:c r="B2" s="3" t="str">
        <x:v>Rastreabilidade dos requisitos</x:v>
      </x:c>
      <x:c r="C2" s="2"/>
      <x:c r="D2" s="2"/>
      <x:c r="E2" s="2"/>
    </x:row>
    <x:row r="3">
      <x:c r="B3" s="4"/>
      <x:c r="C3" s="4"/>
      <x:c r="D3" s="4"/>
      <x:c r="E3" s="4"/>
    </x:row>
    <x:row r="4">
      <x:c r="B4" s="5" t="str">
        <x:v>Definições em requisitos.md; resultados associados aos casos da execução.</x:v>
      </x:c>
      <x:c r="C4" s="2"/>
      <x:c r="D4" s="2"/>
      <x:c r="E4" s="2"/>
    </x:row>
    <x:row r="5">
      <x:c r="B5" s="2"/>
      <x:c r="C5" s="2"/>
      <x:c r="D5" s="2"/>
      <x:c r="E5" s="2"/>
    </x:row>
    <x:row r="6" ht="32" customHeight="1">
      <x:c r="B6" s="10" t="str">
        <x:v>Requisito</x:v>
      </x:c>
      <x:c r="C6" s="10" t="str">
        <x:v>Descrição</x:v>
      </x:c>
      <x:c r="D6" s="10" t="str">
        <x:v>Casos</x:v>
      </x:c>
      <x:c r="E6" s="10" t="str">
        <x:v>Resultado</x:v>
      </x:c>
    </x:row>
    <x:row r="7" ht="40" customHeight="1">
      <x:c r="B7" s="11" t="str">
        <x:v>RF01</x:v>
      </x:c>
      <x:c r="C7" s="11" t="str">
        <x:v>O sistema deve permitir o cadastro público de usuários com nome, email, senha e perfil administrador ou operador, retornando 201 sem senha/hash.</x:v>
      </x:c>
      <x:c r="D7" s="11" t="str">
        <x:v>CT01, CT02, CT03, CT04</x:v>
      </x:c>
      <x:c r="E7" s="11" t="str">
        <x:v>Passou</x:v>
      </x:c>
    </x:row>
    <x:row r="8" ht="40" customHeight="1">
      <x:c r="B8" s="12" t="str">
        <x:v>RF02</x:v>
      </x:c>
      <x:c r="C8" s="12" t="str">
        <x:v>O sistema deve permitir login com email e senha, retornando 200 com token quando válidos e 401 quando inválidos.</x:v>
      </x:c>
      <x:c r="D8" s="12" t="str">
        <x:v>CT05, CT06</x:v>
      </x:c>
      <x:c r="E8" s="12" t="str">
        <x:v>Passou</x:v>
      </x:c>
    </x:row>
    <x:row r="9" ht="54" customHeight="1">
      <x:c r="B9" s="11" t="str">
        <x:v>RF03</x:v>
      </x:c>
      <x:c r="C9" s="11" t="str">
        <x:v>O sistema deve permitir ao usuário autenticado cadastrar produtos com nome, descrição e saldo inicial opcional, retornando 201 e usando zero quando o saldo não for informado.</x:v>
      </x:c>
      <x:c r="D9" s="11" t="str">
        <x:v>CT08, CT09</x:v>
      </x:c>
      <x:c r="E9" s="11" t="str">
        <x:v>Passou</x:v>
      </x:c>
    </x:row>
    <x:row r="10" ht="54" customHeight="1">
      <x:c r="B10" s="12" t="str">
        <x:v>RF04</x:v>
      </x:c>
      <x:c r="C10" s="12" t="str">
        <x:v>O sistema deve permitir ao usuário autenticado listar produtos em um array com paginação e filtros opcionais de nome/data. Página e limite padrão: 1 e 10; nome contém o texto e createdAt é maior ou igual à data.</x:v>
      </x:c>
      <x:c r="D10" s="12" t="str">
        <x:v>CT10, CT11, CT12, CT13</x:v>
      </x:c>
      <x:c r="E10" s="12" t="str">
        <x:v>Passou</x:v>
      </x:c>
    </x:row>
    <x:row r="11" ht="40" customHeight="1">
      <x:c r="B11" s="11" t="str">
        <x:v>RF05</x:v>
      </x:c>
      <x:c r="C11" s="11" t="str">
        <x:v>O sistema deve permitir ao administrador autenticado excluir produto por ID, retornando 200 quando existente e 404 quando inexistente.</x:v>
      </x:c>
      <x:c r="D11" s="11" t="str">
        <x:v>CT14, CT15</x:v>
      </x:c>
      <x:c r="E11" s="11" t="str">
        <x:v>Passou</x:v>
      </x:c>
    </x:row>
    <x:row r="12" ht="40" customHeight="1">
      <x:c r="B12" s="12" t="str">
        <x:v>RF06</x:v>
      </x:c>
      <x:c r="C12" s="12" t="str">
        <x:v>O sistema deve permitir ao usuário autenticado registrar movimentações de entrada ou saída, retornando 201 e atualizando o saldo correspondente.</x:v>
      </x:c>
      <x:c r="D12" s="12" t="str">
        <x:v>CT16, CT17, CT18, CT19, CT20, CT21, CT22</x:v>
      </x:c>
      <x:c r="E12" s="12" t="str">
        <x:v>Passou</x:v>
      </x:c>
    </x:row>
    <x:row r="13" ht="40" customHeight="1">
      <x:c r="B13" s="11" t="str">
        <x:v>RF07</x:v>
      </x:c>
      <x:c r="C13" s="11" t="str">
        <x:v>O sistema deve registrar automaticamente o usuário autenticado como responsável por cada movimentação, sem aceitar um responsável escolhido pelo corpo da requisição.</x:v>
      </x:c>
      <x:c r="D13" s="11" t="str">
        <x:v>CT16, CT17</x:v>
      </x:c>
      <x:c r="E13" s="11" t="str">
        <x:v>Passou</x:v>
      </x:c>
    </x:row>
    <x:row r="14" ht="40" customHeight="1">
      <x:c r="B14" s="12" t="str">
        <x:v>RNF01</x:v>
      </x:c>
      <x:c r="C14" s="12" t="str">
        <x:v>As senhas devem ser armazenadas como hash bcrypt, com custo 10, e não devem aparecer nas respostas de cadastro/login.</x:v>
      </x:c>
      <x:c r="D14" s="12" t="str">
        <x:v>CT01</x:v>
      </x:c>
      <x:c r="E14" s="12" t="str">
        <x:v>Passou</x:v>
      </x:c>
    </x:row>
    <x:row r="15" ht="40" customHeight="1">
      <x:c r="B15" s="11" t="str">
        <x:v>RNF02</x:v>
      </x:c>
      <x:c r="C15" s="11" t="str">
        <x:v>As rotas de produtos e movimentações devem exigir token JWT válido; o token de login deve expirar após oito horas.</x:v>
      </x:c>
      <x:c r="D15" s="11" t="str">
        <x:v>CT05, CT07</x:v>
      </x:c>
      <x:c r="E15" s="11" t="str">
        <x:v>Passou</x:v>
      </x:c>
    </x:row>
    <x:row r="16" ht="40" customHeight="1">
      <x:c r="B16" s="12" t="str">
        <x:v>RNF03</x:v>
      </x:c>
      <x:c r="C16" s="12" t="str">
        <x:v>A listagem de produtos deve responder em até dois segundos no ambiente local e com a massa de dados registrada no plano de testes.</x:v>
      </x:c>
      <x:c r="D16" s="12" t="str">
        <x:v>CT10</x:v>
      </x:c>
      <x:c r="E16" s="12" t="str">
        <x:v>Passou</x:v>
      </x:c>
    </x:row>
    <x:row r="17" ht="40" customHeight="1">
      <x:c r="B17" s="11" t="str">
        <x:v>RNF04</x:v>
      </x:c>
      <x:c r="C17" s="11" t="str">
        <x:v>As mensagens de erro devem explicar o problema em português.</x:v>
      </x:c>
      <x:c r="D17" s="11" t="str">
        <x:v>CT01, CT03, CT04, CT06, CT07, CT09, CT13, CT15, CT18, CT19, CT20, CT21</x:v>
      </x:c>
      <x:c r="E17" s="11" t="str">
        <x:v>Passou</x:v>
      </x:c>
    </x:row>
    <x:row r="18" ht="40" customHeight="1">
      <x:c r="B18" s="12" t="str">
        <x:v>RNF05</x:v>
      </x:c>
      <x:c r="C18" s="12" t="str">
        <x:v>O sistema deve executar em Node.js e persistir usuários, produtos e movimentações em MySQL.</x:v>
      </x:c>
      <x:c r="D18" s="12" t="str">
        <x:v>CT10</x:v>
      </x:c>
      <x:c r="E18" s="12" t="str">
        <x:v>Passou</x:v>
      </x:c>
    </x:row>
    <x:row r="19" ht="40" customHeight="1">
      <x:c r="B19" s="11" t="str">
        <x:v>RN01</x:v>
      </x:c>
      <x:c r="C19" s="11" t="str">
        <x:v>Somente administrador pode excluir produto. Operador consulta, cadastra e atualiza o saldo por movimentação.</x:v>
      </x:c>
      <x:c r="D19" s="11" t="str">
        <x:v>CT14, CT15</x:v>
      </x:c>
      <x:c r="E19" s="11" t="str">
        <x:v>Passou</x:v>
      </x:c>
    </x:row>
    <x:row r="20" ht="28" customHeight="1">
      <x:c r="B20" s="12" t="str">
        <x:v>RN02</x:v>
      </x:c>
      <x:c r="C20" s="12" t="str">
        <x:v>Toda movimentação deve ter o usuário autenticado como responsável.</x:v>
      </x:c>
      <x:c r="D20" s="12" t="str">
        <x:v>CT16, CT17, CT21</x:v>
      </x:c>
      <x:c r="E20" s="12" t="str">
        <x:v>Passou</x:v>
      </x:c>
    </x:row>
    <x:row r="21" ht="28" customHeight="1">
      <x:c r="B21" s="11" t="str">
        <x:v>RN03</x:v>
      </x:c>
      <x:c r="C21" s="11" t="str">
        <x:v>A movimentação deve ser do tipo `entrada` ou `saida`.</x:v>
      </x:c>
      <x:c r="D21" s="11" t="str">
        <x:v>CT16, CT17, CT20</x:v>
      </x:c>
      <x:c r="E21" s="11" t="str">
        <x:v>Passou</x:v>
      </x:c>
    </x:row>
    <x:row r="22" ht="28" customHeight="1">
      <x:c r="B22" s="12" t="str">
        <x:v>RN04</x:v>
      </x:c>
      <x:c r="C22" s="12" t="str">
        <x:v>A quantidade movimentada deve ser inteira e maior que zero.</x:v>
      </x:c>
      <x:c r="D22" s="12" t="str">
        <x:v>CT19, CT22</x:v>
      </x:c>
      <x:c r="E22" s="12" t="str">
        <x:v>Passou</x:v>
      </x:c>
    </x:row>
    <x:row r="23" ht="28" customHeight="1">
      <x:c r="B23" s="11" t="str">
        <x:v>RN05</x:v>
      </x:c>
      <x:c r="C23" s="11" t="str">
        <x:v>Uma saída não pode exceder o estoque disponível.</x:v>
      </x:c>
      <x:c r="D23" s="11" t="str">
        <x:v>CT17, CT18, CT22</x:v>
      </x:c>
      <x:c r="E23" s="11" t="str">
        <x:v>Passou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10" hidden="0" customWidth="1"/>
    <x:col min="3" max="3" width="10" hidden="0" customWidth="1"/>
    <x:col min="4" max="4" width="58" hidden="0" customWidth="1"/>
    <x:col min="5" max="5" width="36" hidden="0" customWidth="1"/>
    <x:col min="6" max="6" width="34" hidden="0" customWidth="1"/>
    <x:col min="7" max="7" width="34" hidden="0" customWidth="1"/>
    <x:col min="8" max="8" width="15" hidden="0" customWidth="1"/>
    <x:col min="9" max="9" width="15" hidden="0" customWidth="1"/>
    <x:col min="10" max="10" width="30" hidden="0" customWidth="1"/>
  </x:cols>
  <x:sheetData>
    <x:row r="2" ht="24" customHeight="1">
      <x:c r="B2" s="3" t="str">
        <x:v>Defeitos observados</x:v>
      </x:c>
      <x:c r="C2" s="2"/>
      <x:c r="D2" s="2"/>
      <x:c r="E2" s="2"/>
      <x:c r="F2" s="2"/>
      <x:c r="G2" s="2"/>
      <x:c r="H2" s="2"/>
      <x:c r="I2" s="2"/>
      <x:c r="J2" s="2"/>
    </x:row>
    <x:row r="3"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B4" s="5" t="str">
        <x:v>Instrumentação corrigida e regressão concluída; nenhum defeito da API observado na rodada final.</x:v>
      </x:c>
      <x:c r="C4" s="2"/>
      <x:c r="D4" s="2"/>
      <x:c r="E4" s="2"/>
      <x:c r="F4" s="2"/>
      <x:c r="G4" s="2"/>
      <x:c r="H4" s="2"/>
      <x:c r="I4" s="2"/>
      <x:c r="J4" s="2"/>
    </x:row>
    <x:row r="5">
      <x:c r="B5" s="2"/>
      <x:c r="C5" s="2"/>
      <x:c r="D5" s="2"/>
      <x:c r="E5" s="2"/>
      <x:c r="F5" s="2"/>
      <x:c r="G5" s="2"/>
      <x:c r="H5" s="2"/>
      <x:c r="I5" s="2"/>
      <x:c r="J5" s="2"/>
    </x:row>
    <x:row r="6" ht="32" customHeight="1">
      <x:c r="B6" s="10" t="str">
        <x:v>ID</x:v>
      </x:c>
      <x:c r="C6" s="10" t="str">
        <x:v>Caso</x:v>
      </x:c>
      <x:c r="D6" s="10" t="str">
        <x:v>Descrição</x:v>
      </x:c>
      <x:c r="E6" s="10" t="str">
        <x:v>Reprodução</x:v>
      </x:c>
      <x:c r="F6" s="10" t="str">
        <x:v>Esperado</x:v>
      </x:c>
      <x:c r="G6" s="10" t="str">
        <x:v>Obtido</x:v>
      </x:c>
      <x:c r="H6" s="10" t="str">
        <x:v>Severidade</x:v>
      </x:c>
      <x:c r="I6" s="10" t="str">
        <x:v>Status</x:v>
      </x:c>
      <x:c r="J6" s="10" t="str">
        <x:v>Evidência</x:v>
      </x:c>
    </x:row>
    <x:row r="7" ht="152" customHeight="1">
      <x:c r="B7" s="11" t="str">
        <x:v>DFV01</x:v>
      </x:c>
      <x:c r="C7" s="11" t="str">
        <x:v>CT04, CT09</x:v>
      </x:c>
      <x:c r="D7" s="11" t="str">
        <x:v>Verificador: Heurística de português rejeitou mensagem válida</x:v>
      </x:c>
      <x:c r="E7" s="11" t="str">
        <x:v>Executar a versão inicial do verificador.
Enviar cadastros sem nome nos casos CT04 e CT09.
Observar HTTP 400 e a mensagem Nome deve ser preenchido, rejeitada pela heurística.</x:v>
      </x:c>
      <x:c r="F7" s="11" t="str">
        <x:v>Respostas HTTP 400 em português devem ser reconhecidas pelo verificador.</x:v>
      </x:c>
      <x:c r="G7" s="11" t="str">
        <x:v>A rodada inicial classificou duas mensagens corretas como falhas e bloqueou quatro casos dependentes.
Correção: Heurística do verificador ampliada para reconhecer as palavras nome e preenchido.
Reteste: CT04 e CT09 passaram; os 22 casos foram reexecutados e passaram.</x:v>
      </x:c>
      <x:c r="H7" s="11" t="str">
        <x:v>Média</x:v>
      </x:c>
      <x:c r="I7" s="11" t="str">
        <x:v>Fechado</x:v>
      </x:c>
      <x:c r="J7" s="11" t="str">
        <x:v>docs/evidencias/execucao-instrumentacao-inicial.json
docs/evidencias/execucao.json</x:v>
      </x:c>
    </x:row>
  </x:sheetData>
  <x:pageMargins left="0.7" right="0.7" top="0.75" bottom="0.75" header="0.3" footer="0.3"/>
</x:worksheet>
</file>